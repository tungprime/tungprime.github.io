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eccollege-my.sharepoint.com/personal/laura_bjerga_elmhurst_edu/Documents/Documents/"/>
    </mc:Choice>
  </mc:AlternateContent>
  <xr:revisionPtr revIDLastSave="0" documentId="8_{95689B01-5BF5-4670-B01A-9ACCBC1889E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Expense Reimbursement Request" sheetId="3" r:id="rId1"/>
    <sheet name="Mileage " sheetId="1" r:id="rId2"/>
  </sheets>
  <definedNames>
    <definedName name="_xlnm.Print_Area" localSheetId="0">'Expense Reimbursement Request'!$A$1:$M$58</definedName>
    <definedName name="_xlnm.Print_Area" localSheetId="1">'Mileage '!$A$1:$K$38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28" i="3" l="1"/>
  <c r="M49" i="3" l="1"/>
  <c r="E28" i="3"/>
  <c r="D28" i="3"/>
  <c r="C28" i="3"/>
  <c r="M28" i="3" l="1"/>
  <c r="K38" i="1"/>
  <c r="F29" i="3" l="1"/>
  <c r="K17" i="3" l="1"/>
  <c r="M17" i="3" s="1"/>
  <c r="M27" i="3" s="1"/>
  <c r="M29" i="3" s="1"/>
  <c r="M31" i="3" l="1"/>
  <c r="M52" i="3"/>
</calcChain>
</file>

<file path=xl/sharedStrings.xml><?xml version="1.0" encoding="utf-8"?>
<sst xmlns="http://schemas.openxmlformats.org/spreadsheetml/2006/main" count="96" uniqueCount="71">
  <si>
    <t>Date</t>
  </si>
  <si>
    <t>Lunch</t>
  </si>
  <si>
    <t>Dinner</t>
  </si>
  <si>
    <t>TOTAL</t>
  </si>
  <si>
    <t>Toll Charges</t>
  </si>
  <si>
    <t>Parking</t>
  </si>
  <si>
    <t>REPORT EXCEPTION</t>
  </si>
  <si>
    <t>Business Purpose</t>
  </si>
  <si>
    <t>Account/s to be charged</t>
  </si>
  <si>
    <t>Miles</t>
  </si>
  <si>
    <t>Name</t>
  </si>
  <si>
    <t>Less advance, check#</t>
  </si>
  <si>
    <t>Cost</t>
  </si>
  <si>
    <t>Employee :</t>
  </si>
  <si>
    <t>Signature</t>
  </si>
  <si>
    <t>Amount</t>
  </si>
  <si>
    <t>Signature:</t>
  </si>
  <si>
    <t>Print and sign approval:</t>
  </si>
  <si>
    <t>Name:</t>
  </si>
  <si>
    <t>Destination</t>
  </si>
  <si>
    <t>Begin location</t>
  </si>
  <si>
    <t xml:space="preserve">Purchase(receipt required) </t>
  </si>
  <si>
    <t xml:space="preserve"> </t>
  </si>
  <si>
    <t>Rate</t>
  </si>
  <si>
    <t>Itemized Room</t>
  </si>
  <si>
    <t xml:space="preserve"> Personal Car Miles</t>
  </si>
  <si>
    <t>MISCELLANEOUS</t>
  </si>
  <si>
    <t>ELMHURST UNIVERSITY</t>
  </si>
  <si>
    <t>Gasoline (EU vehicle)</t>
  </si>
  <si>
    <t>Supervisor</t>
  </si>
  <si>
    <t>Vice President</t>
  </si>
  <si>
    <t>Transportation Type-</t>
  </si>
  <si>
    <t>Personal Car (miles)</t>
  </si>
  <si>
    <t xml:space="preserve">Please complete this form after reviewing the University's Business Expense Policies &amp; Procedures. </t>
  </si>
  <si>
    <t>E number</t>
  </si>
  <si>
    <t>Breakfast</t>
  </si>
  <si>
    <t>The amount reported above includes costs for persons other than or in addition to myself as identified, detailed, and explained below.</t>
  </si>
  <si>
    <t>Total Miscellaneous</t>
  </si>
  <si>
    <t>Total Meals and Lodging</t>
  </si>
  <si>
    <t>Total All Expenses</t>
  </si>
  <si>
    <t>Reimbursement Amount*</t>
  </si>
  <si>
    <t>SUPPLEMENTAL MILES FORM</t>
  </si>
  <si>
    <t xml:space="preserve">The Total will be reported on the Expense Reimbursement Request Form.  </t>
  </si>
  <si>
    <t>(IF &gt;$5,000)</t>
  </si>
  <si>
    <t>(IF &gt;$10,000)</t>
  </si>
  <si>
    <t>Vice President For Business &amp; Finance</t>
  </si>
  <si>
    <t>Names of people involved with University business</t>
  </si>
  <si>
    <t>OVERALL BUSINESS PURPOSE FOR EXPENDITURES</t>
  </si>
  <si>
    <t>Attestation: The reimbursement requested is for expenses related to University business.</t>
  </si>
  <si>
    <t>[Email Accounts Payable]</t>
  </si>
  <si>
    <t>After this form is fully completed with supporting information and appropriate signature, please attach to AP E-mail.</t>
  </si>
  <si>
    <t>Elmhurst University</t>
  </si>
  <si>
    <t>Meeting with print vendor [Example]</t>
  </si>
  <si>
    <t>Home</t>
  </si>
  <si>
    <t>Walmart</t>
  </si>
  <si>
    <t>ABC Printing</t>
  </si>
  <si>
    <t>Pickup supplies in excess of commute*</t>
  </si>
  <si>
    <t>MEALS, LODGING &amp; MILEAGE FROM MILEAGE FORM</t>
  </si>
  <si>
    <t>A secondary source, like Google Map, is not required when this is completely filled out.</t>
  </si>
  <si>
    <t>Address *</t>
  </si>
  <si>
    <t>* This is the address to mail a reimbursement check.</t>
  </si>
  <si>
    <t>Attached mileage page for all reimbursable miles &gt;</t>
  </si>
  <si>
    <t xml:space="preserve">  * University business mileage outside the office is reimbursable to the extent mileage is in excess of normal commute to the office.   </t>
  </si>
  <si>
    <t xml:space="preserve">   * If negative, return remaining advance</t>
  </si>
  <si>
    <t xml:space="preserve">Please fill in accounts to be charged below with amounts. </t>
  </si>
  <si>
    <t>Total of accounts to be charged:</t>
  </si>
  <si>
    <t>Should be zero, check accounts*</t>
  </si>
  <si>
    <t xml:space="preserve">   * This is zero when expenses equal GL accounts charged. </t>
  </si>
  <si>
    <t xml:space="preserve">EXPENSE REIMBURSEMENT REQUEST FORM </t>
  </si>
  <si>
    <t>MILEAGE</t>
  </si>
  <si>
    <t>RATE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</si>
</sst>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00\-0\-00000\-00000"/>
    <numFmt numFmtId="165" formatCode="mm/dd/yy;@"/>
    <numFmt numFmtId="166" formatCode="0.000"/>
  </numFmts>
  <fonts count="19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u/>
      <sz val="10"/>
      <color theme="10"/>
      <name val="Arial"/>
      <family val="2"/>
    </font>
    <font>
      <b/>
      <sz val="14"/>
      <name val="Calibri"/>
      <family val="2"/>
      <scheme val="minor"/>
    </font>
    <font>
      <sz val="14"/>
      <name val="Calibri"/>
      <family val="2"/>
      <scheme val="minor"/>
    </font>
    <font>
      <b/>
      <u/>
      <sz val="14"/>
      <color theme="10"/>
      <name val="Calibri"/>
      <family val="2"/>
      <scheme val="minor"/>
    </font>
    <font>
      <u/>
      <sz val="14"/>
      <name val="Calibri"/>
      <family val="2"/>
      <scheme val="minor"/>
    </font>
    <font>
      <b/>
      <u/>
      <sz val="14"/>
      <name val="Calibri"/>
      <family val="2"/>
      <scheme val="minor"/>
    </font>
    <font>
      <vertAlign val="superscript"/>
      <sz val="14"/>
      <name val="Calibri"/>
      <family val="2"/>
      <scheme val="minor"/>
    </font>
    <font>
      <sz val="14"/>
      <color rgb="FF000000"/>
      <name val="Calibri"/>
      <family val="2"/>
      <scheme val="minor"/>
    </font>
    <font>
      <sz val="12"/>
      <name val="Calibri"/>
      <family val="2"/>
      <scheme val="minor"/>
    </font>
    <font>
      <b/>
      <sz val="12"/>
      <name val="Calibri"/>
      <family val="2"/>
      <scheme val="minor"/>
    </font>
    <font>
      <sz val="10"/>
      <name val="Calibri"/>
      <family val="2"/>
      <scheme val="minor"/>
    </font>
    <font>
      <b/>
      <sz val="18"/>
      <name val="Calibri"/>
      <family val="2"/>
      <scheme val="minor"/>
    </font>
    <font>
      <sz val="13"/>
      <name val="Calibri"/>
      <family val="2"/>
      <scheme val="minor"/>
    </font>
    <font>
      <vertAlign val="subscript"/>
      <sz val="14"/>
      <name val="Calibri"/>
      <family val="2"/>
      <scheme val="minor"/>
    </font>
    <font>
      <u/>
      <sz val="12"/>
      <name val="Calibri"/>
      <family val="2"/>
      <scheme val="minor"/>
    </font>
    <font>
      <i/>
      <sz val="1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gray0625">
        <bgColor theme="6" tint="0.79995117038483843"/>
      </patternFill>
    </fill>
    <fill>
      <patternFill patternType="solid">
        <fgColor rgb="FFCCFF99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 diagonalDown="1"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 style="medium">
        <color indexed="64"/>
      </diagonal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3" fillId="0" borderId="0" applyNumberFormat="0" applyFill="0" applyBorder="0" applyAlignment="0" applyProtection="0"/>
  </cellStyleXfs>
  <cellXfs count="97">
    <xf numFmtId="0" fontId="0" fillId="0" borderId="0" xfId="0"/>
    <xf numFmtId="0" fontId="5" fillId="0" borderId="0" xfId="0" applyFont="1"/>
    <xf numFmtId="0" fontId="4" fillId="0" borderId="0" xfId="0" applyFont="1" applyAlignment="1">
      <alignment horizontal="center"/>
    </xf>
    <xf numFmtId="0" fontId="6" fillId="0" borderId="0" xfId="2" applyFont="1" applyProtection="1"/>
    <xf numFmtId="0" fontId="5" fillId="0" borderId="0" xfId="0" applyFont="1" applyProtection="1">
      <protection locked="0"/>
    </xf>
    <xf numFmtId="0" fontId="5" fillId="0" borderId="0" xfId="0" applyFont="1" applyAlignment="1" applyProtection="1">
      <alignment horizontal="center"/>
      <protection locked="0"/>
    </xf>
    <xf numFmtId="0" fontId="5" fillId="0" borderId="1" xfId="0" applyFont="1" applyBorder="1" applyAlignment="1" applyProtection="1">
      <alignment horizontal="left"/>
      <protection locked="0"/>
    </xf>
    <xf numFmtId="0" fontId="5" fillId="0" borderId="1" xfId="0" applyFont="1" applyBorder="1" applyProtection="1">
      <protection locked="0"/>
    </xf>
    <xf numFmtId="0" fontId="8" fillId="0" borderId="0" xfId="0" applyFont="1" applyAlignment="1" applyProtection="1">
      <alignment vertical="center"/>
      <protection locked="0"/>
    </xf>
    <xf numFmtId="0" fontId="5" fillId="0" borderId="3" xfId="0" applyFont="1" applyBorder="1" applyAlignment="1" applyProtection="1">
      <alignment horizontal="center"/>
      <protection locked="0"/>
    </xf>
    <xf numFmtId="0" fontId="5" fillId="0" borderId="2" xfId="0" applyFont="1" applyBorder="1" applyAlignment="1" applyProtection="1">
      <alignment horizontal="center"/>
      <protection locked="0"/>
    </xf>
    <xf numFmtId="0" fontId="5" fillId="0" borderId="4" xfId="0" applyFont="1" applyBorder="1" applyAlignment="1" applyProtection="1">
      <alignment horizontal="center" wrapText="1"/>
      <protection locked="0"/>
    </xf>
    <xf numFmtId="0" fontId="5" fillId="0" borderId="6" xfId="0" applyFont="1" applyBorder="1" applyAlignment="1" applyProtection="1">
      <alignment horizontal="center" wrapText="1"/>
      <protection locked="0"/>
    </xf>
    <xf numFmtId="0" fontId="7" fillId="0" borderId="0" xfId="0" applyFont="1"/>
    <xf numFmtId="43" fontId="5" fillId="0" borderId="3" xfId="1" applyFont="1" applyBorder="1" applyProtection="1">
      <protection locked="0"/>
    </xf>
    <xf numFmtId="43" fontId="5" fillId="0" borderId="2" xfId="1" applyFont="1" applyBorder="1" applyAlignment="1">
      <alignment horizontal="center"/>
    </xf>
    <xf numFmtId="0" fontId="9" fillId="0" borderId="0" xfId="0" applyFont="1" applyProtection="1">
      <protection locked="0"/>
    </xf>
    <xf numFmtId="0" fontId="5" fillId="0" borderId="0" xfId="0" applyFont="1" applyAlignment="1" applyProtection="1">
      <alignment horizontal="left"/>
      <protection locked="0"/>
    </xf>
    <xf numFmtId="43" fontId="5" fillId="0" borderId="1" xfId="1" applyFont="1" applyBorder="1" applyProtection="1">
      <protection locked="0"/>
    </xf>
    <xf numFmtId="0" fontId="11" fillId="0" borderId="0" xfId="0" applyFont="1" applyProtection="1">
      <protection locked="0"/>
    </xf>
    <xf numFmtId="0" fontId="11" fillId="0" borderId="1" xfId="0" applyFont="1" applyBorder="1" applyProtection="1">
      <protection locked="0"/>
    </xf>
    <xf numFmtId="43" fontId="5" fillId="2" borderId="2" xfId="0" applyNumberFormat="1" applyFont="1" applyFill="1" applyBorder="1"/>
    <xf numFmtId="0" fontId="12" fillId="0" borderId="0" xfId="0" applyFont="1" applyProtection="1">
      <protection locked="0"/>
    </xf>
    <xf numFmtId="43" fontId="5" fillId="2" borderId="0" xfId="0" applyNumberFormat="1" applyFont="1" applyFill="1"/>
    <xf numFmtId="0" fontId="13" fillId="0" borderId="0" xfId="0" applyFont="1" applyProtection="1">
      <protection locked="0"/>
    </xf>
    <xf numFmtId="14" fontId="13" fillId="0" borderId="0" xfId="0" applyNumberFormat="1" applyFont="1"/>
    <xf numFmtId="0" fontId="13" fillId="0" borderId="0" xfId="0" applyFont="1"/>
    <xf numFmtId="0" fontId="5" fillId="0" borderId="1" xfId="0" applyFont="1" applyBorder="1" applyAlignment="1" applyProtection="1">
      <alignment horizontal="center"/>
      <protection locked="0"/>
    </xf>
    <xf numFmtId="165" fontId="7" fillId="0" borderId="2" xfId="0" applyNumberFormat="1" applyFont="1" applyBorder="1" applyProtection="1">
      <protection locked="0"/>
    </xf>
    <xf numFmtId="4" fontId="5" fillId="0" borderId="2" xfId="1" applyNumberFormat="1" applyFont="1" applyBorder="1" applyProtection="1">
      <protection locked="0"/>
    </xf>
    <xf numFmtId="4" fontId="7" fillId="0" borderId="2" xfId="0" applyNumberFormat="1" applyFont="1" applyBorder="1" applyProtection="1">
      <protection locked="0"/>
    </xf>
    <xf numFmtId="165" fontId="5" fillId="0" borderId="2" xfId="0" applyNumberFormat="1" applyFont="1" applyBorder="1" applyProtection="1">
      <protection locked="0"/>
    </xf>
    <xf numFmtId="4" fontId="5" fillId="0" borderId="2" xfId="0" applyNumberFormat="1" applyFont="1" applyBorder="1" applyProtection="1">
      <protection locked="0"/>
    </xf>
    <xf numFmtId="0" fontId="4" fillId="0" borderId="0" xfId="0" applyFont="1"/>
    <xf numFmtId="0" fontId="15" fillId="0" borderId="0" xfId="0" applyFont="1" applyAlignment="1">
      <alignment horizontal="right"/>
    </xf>
    <xf numFmtId="0" fontId="5" fillId="0" borderId="0" xfId="0" applyFont="1" applyAlignment="1">
      <alignment horizontal="center"/>
    </xf>
    <xf numFmtId="0" fontId="8" fillId="0" borderId="0" xfId="0" applyFont="1" applyProtection="1">
      <protection locked="0"/>
    </xf>
    <xf numFmtId="0" fontId="8" fillId="0" borderId="0" xfId="0" applyFont="1" applyAlignment="1" applyProtection="1">
      <alignment horizontal="center"/>
      <protection locked="0"/>
    </xf>
    <xf numFmtId="0" fontId="5" fillId="0" borderId="0" xfId="0" applyFont="1" applyAlignment="1" applyProtection="1">
      <alignment horizontal="right"/>
      <protection locked="0"/>
    </xf>
    <xf numFmtId="0" fontId="5" fillId="0" borderId="0" xfId="0" applyFont="1" applyAlignment="1" applyProtection="1">
      <alignment horizontal="left" indent="1"/>
      <protection locked="0"/>
    </xf>
    <xf numFmtId="1" fontId="5" fillId="2" borderId="2" xfId="0" applyNumberFormat="1" applyFont="1" applyFill="1" applyBorder="1"/>
    <xf numFmtId="14" fontId="5" fillId="2" borderId="2" xfId="0" applyNumberFormat="1" applyFont="1" applyFill="1" applyBorder="1" applyProtection="1">
      <protection locked="0"/>
    </xf>
    <xf numFmtId="1" fontId="5" fillId="2" borderId="2" xfId="0" applyNumberFormat="1" applyFont="1" applyFill="1" applyBorder="1" applyProtection="1">
      <protection locked="0"/>
    </xf>
    <xf numFmtId="0" fontId="5" fillId="0" borderId="0" xfId="0" applyFont="1" applyAlignment="1" applyProtection="1">
      <alignment horizontal="center"/>
      <protection locked="0"/>
    </xf>
    <xf numFmtId="43" fontId="5" fillId="3" borderId="8" xfId="1" applyFont="1" applyFill="1" applyBorder="1" applyProtection="1">
      <protection locked="0"/>
    </xf>
    <xf numFmtId="1" fontId="11" fillId="2" borderId="1" xfId="0" applyNumberFormat="1" applyFont="1" applyFill="1" applyBorder="1"/>
    <xf numFmtId="43" fontId="11" fillId="2" borderId="3" xfId="1" applyFont="1" applyFill="1" applyBorder="1"/>
    <xf numFmtId="0" fontId="5" fillId="0" borderId="0" xfId="0" applyFont="1" applyBorder="1" applyProtection="1">
      <protection locked="0"/>
    </xf>
    <xf numFmtId="0" fontId="11" fillId="0" borderId="0" xfId="0" applyFont="1"/>
    <xf numFmtId="0" fontId="11" fillId="0" borderId="2" xfId="0" applyFont="1" applyBorder="1" applyProtection="1">
      <protection locked="0"/>
    </xf>
    <xf numFmtId="1" fontId="11" fillId="0" borderId="2" xfId="0" applyNumberFormat="1" applyFont="1" applyBorder="1" applyProtection="1">
      <protection locked="0"/>
    </xf>
    <xf numFmtId="165" fontId="11" fillId="0" borderId="2" xfId="1" applyNumberFormat="1" applyFont="1" applyBorder="1" applyProtection="1">
      <protection locked="0"/>
    </xf>
    <xf numFmtId="43" fontId="11" fillId="0" borderId="2" xfId="1" applyFont="1" applyBorder="1" applyProtection="1">
      <protection locked="0"/>
    </xf>
    <xf numFmtId="43" fontId="11" fillId="0" borderId="4" xfId="1" applyFont="1" applyBorder="1" applyProtection="1">
      <protection locked="0"/>
    </xf>
    <xf numFmtId="43" fontId="11" fillId="0" borderId="0" xfId="1" applyFont="1" applyProtection="1">
      <protection locked="0"/>
    </xf>
    <xf numFmtId="4" fontId="17" fillId="0" borderId="0" xfId="0" applyNumberFormat="1" applyFont="1" applyProtection="1">
      <protection locked="0"/>
    </xf>
    <xf numFmtId="43" fontId="11" fillId="0" borderId="3" xfId="1" applyFont="1" applyBorder="1" applyProtection="1">
      <protection locked="0"/>
    </xf>
    <xf numFmtId="0" fontId="11" fillId="0" borderId="0" xfId="0" applyFont="1" applyBorder="1" applyProtection="1">
      <protection locked="0"/>
    </xf>
    <xf numFmtId="43" fontId="11" fillId="2" borderId="1" xfId="1" applyFont="1" applyFill="1" applyBorder="1"/>
    <xf numFmtId="43" fontId="11" fillId="2" borderId="0" xfId="1" applyFont="1" applyFill="1"/>
    <xf numFmtId="43" fontId="11" fillId="2" borderId="3" xfId="1" applyFont="1" applyFill="1" applyBorder="1" applyProtection="1"/>
    <xf numFmtId="43" fontId="12" fillId="2" borderId="2" xfId="1" applyFont="1" applyFill="1" applyBorder="1"/>
    <xf numFmtId="43" fontId="11" fillId="2" borderId="2" xfId="1" applyFont="1" applyFill="1" applyBorder="1"/>
    <xf numFmtId="43" fontId="11" fillId="0" borderId="1" xfId="1" applyFont="1" applyBorder="1" applyAlignment="1" applyProtection="1">
      <protection locked="0"/>
    </xf>
    <xf numFmtId="43" fontId="11" fillId="0" borderId="0" xfId="1" applyFont="1" applyBorder="1" applyAlignment="1" applyProtection="1">
      <protection locked="0"/>
    </xf>
    <xf numFmtId="0" fontId="4" fillId="4" borderId="9" xfId="0" applyFont="1" applyFill="1" applyBorder="1" applyAlignment="1">
      <alignment horizontal="center"/>
    </xf>
    <xf numFmtId="0" fontId="4" fillId="4" borderId="10" xfId="0" applyFont="1" applyFill="1" applyBorder="1" applyAlignment="1">
      <alignment horizontal="center"/>
    </xf>
    <xf numFmtId="166" fontId="11" fillId="4" borderId="3" xfId="0" quotePrefix="1" applyNumberFormat="1" applyFont="1" applyFill="1" applyBorder="1"/>
    <xf numFmtId="0" fontId="11" fillId="0" borderId="0" xfId="0" applyFont="1" applyAlignment="1" applyProtection="1">
      <alignment horizontal="center"/>
      <protection locked="0"/>
    </xf>
    <xf numFmtId="0" fontId="5" fillId="0" borderId="3" xfId="0" applyFont="1" applyBorder="1" applyProtection="1">
      <protection locked="0"/>
    </xf>
    <xf numFmtId="0" fontId="8" fillId="0" borderId="7" xfId="0" applyFont="1" applyBorder="1" applyAlignment="1" applyProtection="1">
      <alignment horizontal="center" vertical="center"/>
      <protection locked="0"/>
    </xf>
    <xf numFmtId="0" fontId="14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5" fillId="0" borderId="1" xfId="0" applyFont="1" applyBorder="1" applyProtection="1">
      <protection locked="0"/>
    </xf>
    <xf numFmtId="14" fontId="11" fillId="0" borderId="1" xfId="0" applyNumberFormat="1" applyFont="1" applyBorder="1" applyAlignment="1" applyProtection="1">
      <alignment horizontal="center"/>
      <protection locked="0"/>
    </xf>
    <xf numFmtId="0" fontId="11" fillId="0" borderId="1" xfId="0" applyFont="1" applyBorder="1" applyAlignment="1" applyProtection="1">
      <alignment horizontal="center"/>
      <protection locked="0"/>
    </xf>
    <xf numFmtId="164" fontId="7" fillId="0" borderId="1" xfId="0" applyNumberFormat="1" applyFont="1" applyBorder="1" applyAlignment="1" applyProtection="1">
      <alignment horizontal="left"/>
      <protection locked="0"/>
    </xf>
    <xf numFmtId="0" fontId="5" fillId="0" borderId="2" xfId="0" applyFont="1" applyBorder="1" applyProtection="1">
      <protection locked="0"/>
    </xf>
    <xf numFmtId="164" fontId="5" fillId="0" borderId="1" xfId="0" applyNumberFormat="1" applyFont="1" applyBorder="1" applyAlignment="1" applyProtection="1">
      <alignment horizontal="left"/>
      <protection locked="0"/>
    </xf>
    <xf numFmtId="0" fontId="8" fillId="0" borderId="0" xfId="0" applyFont="1" applyAlignment="1" applyProtection="1">
      <alignment horizontal="center"/>
      <protection locked="0"/>
    </xf>
    <xf numFmtId="0" fontId="13" fillId="0" borderId="0" xfId="0" applyFont="1" applyAlignment="1" applyProtection="1">
      <alignment horizontal="right" wrapText="1"/>
      <protection locked="0"/>
    </xf>
    <xf numFmtId="49" fontId="16" fillId="0" borderId="7" xfId="0" applyNumberFormat="1" applyFont="1" applyBorder="1" applyAlignment="1" applyProtection="1">
      <alignment horizontal="left"/>
      <protection locked="0"/>
    </xf>
    <xf numFmtId="0" fontId="5" fillId="0" borderId="1" xfId="0" applyFont="1" applyBorder="1" applyAlignment="1" applyProtection="1">
      <alignment horizontal="left"/>
      <protection locked="0"/>
    </xf>
    <xf numFmtId="0" fontId="10" fillId="0" borderId="1" xfId="0" applyFont="1" applyBorder="1" applyAlignment="1">
      <alignment horizontal="center" vertical="center"/>
    </xf>
    <xf numFmtId="0" fontId="5" fillId="0" borderId="1" xfId="0" applyFont="1" applyBorder="1" applyAlignment="1" applyProtection="1">
      <alignment horizontal="center"/>
      <protection locked="0"/>
    </xf>
    <xf numFmtId="0" fontId="8" fillId="0" borderId="0" xfId="0" applyFont="1" applyProtection="1">
      <protection locked="0"/>
    </xf>
    <xf numFmtId="0" fontId="5" fillId="0" borderId="0" xfId="0" applyFont="1" applyAlignment="1" applyProtection="1">
      <alignment horizontal="left" wrapText="1"/>
      <protection locked="0"/>
    </xf>
    <xf numFmtId="0" fontId="18" fillId="0" borderId="0" xfId="0" applyFont="1" applyAlignment="1" applyProtection="1">
      <alignment horizontal="right" vertical="center" wrapText="1"/>
      <protection locked="0"/>
    </xf>
    <xf numFmtId="164" fontId="7" fillId="0" borderId="3" xfId="0" applyNumberFormat="1" applyFont="1" applyBorder="1" applyAlignment="1" applyProtection="1">
      <alignment horizontal="center"/>
      <protection locked="0"/>
    </xf>
    <xf numFmtId="0" fontId="5" fillId="0" borderId="0" xfId="0" applyFont="1" applyAlignment="1" applyProtection="1">
      <alignment horizontal="right"/>
      <protection locked="0"/>
    </xf>
    <xf numFmtId="0" fontId="11" fillId="0" borderId="3" xfId="0" applyFont="1" applyBorder="1" applyProtection="1">
      <protection locked="0"/>
    </xf>
    <xf numFmtId="0" fontId="11" fillId="0" borderId="5" xfId="0" applyFont="1" applyBorder="1" applyProtection="1">
      <protection locked="0"/>
    </xf>
    <xf numFmtId="0" fontId="11" fillId="0" borderId="4" xfId="0" applyFont="1" applyBorder="1" applyProtection="1">
      <protection locked="0"/>
    </xf>
    <xf numFmtId="0" fontId="5" fillId="0" borderId="1" xfId="0" applyFont="1" applyBorder="1" applyAlignment="1">
      <alignment horizontal="center"/>
    </xf>
    <xf numFmtId="0" fontId="5" fillId="2" borderId="4" xfId="0" applyFont="1" applyFill="1" applyBorder="1" applyProtection="1">
      <protection locked="0"/>
    </xf>
    <xf numFmtId="0" fontId="5" fillId="2" borderId="3" xfId="0" applyFont="1" applyFill="1" applyBorder="1" applyProtection="1">
      <protection locked="0"/>
    </xf>
    <xf numFmtId="0" fontId="5" fillId="2" borderId="5" xfId="0" applyFont="1" applyFill="1" applyBorder="1" applyProtection="1">
      <protection locked="0"/>
    </xf>
  </cellXfs>
  <cellStyles count="3">
    <cellStyle name="Comma" xfId="1" builtinId="3"/>
    <cellStyle name="Hyperlink" xfId="2" builtinId="8"/>
    <cellStyle name="Normal" xfId="0" builtinId="0"/>
  </cellStyles>
  <dxfs count="0"/>
  <tableStyles count="0" defaultTableStyle="TableStyleMedium9" defaultPivotStyle="PivotStyleLight16"/>
  <colors>
    <mruColors>
      <color rgb="FFCC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114300</xdr:colOff>
      <xdr:row>0</xdr:row>
      <xdr:rowOff>92075</xdr:rowOff>
    </xdr:from>
    <xdr:to>
      <xdr:col>1</xdr:col>
      <xdr:colOff>883285</xdr:colOff>
      <xdr:row>2</xdr:row>
      <xdr:rowOff>78487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08424DF-CC8B-414F-AB25-388F2AAAC9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300" y="92075"/>
          <a:ext cx="1664335" cy="529337"/>
        </a:xfrm>
        <a:prstGeom prst="rect">
          <a:avLst/>
        </a:prstGeom>
      </xdr:spPr>
    </xdr:pic>
    <xdr:clientData/>
  </xdr:twoCellAnchor>
  <xdr:twoCellAnchor>
    <xdr:from>
      <xdr:col>12</xdr:col>
      <xdr:colOff>247650</xdr:colOff>
      <xdr:row>31</xdr:row>
      <xdr:rowOff>190500</xdr:rowOff>
    </xdr:from>
    <xdr:to>
      <xdr:col>12</xdr:col>
      <xdr:colOff>571500</xdr:colOff>
      <xdr:row>36</xdr:row>
      <xdr:rowOff>133350</xdr:rowOff>
    </xdr:to>
    <xdr:sp macro="" textlink="">
      <xdr:nvSpPr>
        <xdr:cNvPr id="3" name="Arrow: Down 2">
          <a:extLst>
            <a:ext uri="{FF2B5EF4-FFF2-40B4-BE49-F238E27FC236}">
              <a16:creationId xmlns:a16="http://schemas.microsoft.com/office/drawing/2014/main" id="{6AC90483-F87C-42ED-885A-83F5B1B4CB90}"/>
            </a:ext>
          </a:extLst>
        </xdr:cNvPr>
        <xdr:cNvSpPr/>
      </xdr:nvSpPr>
      <xdr:spPr>
        <a:xfrm>
          <a:off x="10201275" y="8286750"/>
          <a:ext cx="323850" cy="1190625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301625</xdr:colOff>
      <xdr:row>42</xdr:row>
      <xdr:rowOff>114301</xdr:rowOff>
    </xdr:from>
    <xdr:to>
      <xdr:col>12</xdr:col>
      <xdr:colOff>628650</xdr:colOff>
      <xdr:row>42</xdr:row>
      <xdr:rowOff>504826</xdr:rowOff>
    </xdr:to>
    <xdr:sp macro="" textlink="">
      <xdr:nvSpPr>
        <xdr:cNvPr id="4" name="Arrow: Down 3">
          <a:extLst>
            <a:ext uri="{FF2B5EF4-FFF2-40B4-BE49-F238E27FC236}">
              <a16:creationId xmlns:a16="http://schemas.microsoft.com/office/drawing/2014/main" id="{93510D3D-E264-4315-9735-32A0C23534EE}"/>
            </a:ext>
          </a:extLst>
        </xdr:cNvPr>
        <xdr:cNvSpPr/>
      </xdr:nvSpPr>
      <xdr:spPr>
        <a:xfrm>
          <a:off x="10255250" y="10982326"/>
          <a:ext cx="327025" cy="390525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76200</xdr:colOff>
      <xdr:row>42</xdr:row>
      <xdr:rowOff>161925</xdr:rowOff>
    </xdr:from>
    <xdr:to>
      <xdr:col>9</xdr:col>
      <xdr:colOff>406400</xdr:colOff>
      <xdr:row>43</xdr:row>
      <xdr:rowOff>0</xdr:rowOff>
    </xdr:to>
    <xdr:sp macro="" textlink="">
      <xdr:nvSpPr>
        <xdr:cNvPr id="6" name="Arrow: Down 5">
          <a:extLst>
            <a:ext uri="{FF2B5EF4-FFF2-40B4-BE49-F238E27FC236}">
              <a16:creationId xmlns:a16="http://schemas.microsoft.com/office/drawing/2014/main" id="{CA1CF517-DA9B-4CAD-A6AD-95D96D283DE9}"/>
            </a:ext>
          </a:extLst>
        </xdr:cNvPr>
        <xdr:cNvSpPr/>
      </xdr:nvSpPr>
      <xdr:spPr>
        <a:xfrm>
          <a:off x="8048625" y="11029950"/>
          <a:ext cx="330200" cy="390525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314325</xdr:colOff>
      <xdr:row>0</xdr:row>
      <xdr:rowOff>190500</xdr:rowOff>
    </xdr:from>
    <xdr:to>
      <xdr:col>2</xdr:col>
      <xdr:colOff>264160</xdr:colOff>
      <xdr:row>2</xdr:row>
      <xdr:rowOff>183262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61D0253-3FCA-4344-B8C1-E604121A65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14325" y="190500"/>
          <a:ext cx="1664335" cy="52616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Elmhurst%20University%20Accounts%20Payable%20%3caccountspayable@elmhurst.edu%3e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M58"/>
  <sheetViews>
    <sheetView showGridLines="0" tabSelected="1" showRuler="0" topLeftCell="A13" zoomScaleNormal="100" workbookViewId="0">
      <selection activeCell="M25" sqref="M25"/>
    </sheetView>
  </sheetViews>
  <sheetFormatPr defaultColWidth="9.109375" defaultRowHeight="18" x14ac:dyDescent="0.35"/>
  <cols>
    <col min="1" max="1" width="12.6640625" style="1" customWidth="1"/>
    <col min="2" max="6" width="13.33203125" style="1" customWidth="1"/>
    <col min="7" max="7" width="13.109375" style="1" customWidth="1"/>
    <col min="8" max="8" width="10.88671875" style="1" customWidth="1"/>
    <col min="9" max="9" width="11.33203125" style="1" customWidth="1"/>
    <col min="10" max="10" width="9.109375" style="1"/>
    <col min="11" max="11" width="11.109375" style="1" customWidth="1"/>
    <col min="12" max="12" width="8" style="1" customWidth="1"/>
    <col min="13" max="13" width="14.109375" style="1" customWidth="1"/>
    <col min="14" max="16384" width="9.109375" style="1"/>
  </cols>
  <sheetData>
    <row r="2" spans="1:13" ht="24" thickBot="1" x14ac:dyDescent="0.5">
      <c r="A2" s="71" t="s">
        <v>27</v>
      </c>
      <c r="B2" s="71"/>
      <c r="C2" s="71"/>
      <c r="D2" s="71"/>
      <c r="E2" s="71"/>
      <c r="F2" s="71"/>
      <c r="G2" s="71"/>
      <c r="H2" s="71"/>
      <c r="I2" s="71"/>
      <c r="J2" s="71"/>
      <c r="K2" s="71"/>
      <c r="L2" s="71"/>
    </row>
    <row r="3" spans="1:13" x14ac:dyDescent="0.35">
      <c r="A3" s="72" t="s">
        <v>68</v>
      </c>
      <c r="B3" s="72"/>
      <c r="C3" s="72"/>
      <c r="D3" s="72"/>
      <c r="E3" s="72"/>
      <c r="F3" s="72"/>
      <c r="G3" s="72"/>
      <c r="H3" s="72"/>
      <c r="I3" s="72"/>
      <c r="J3" s="72"/>
      <c r="K3" s="72"/>
      <c r="L3" s="72"/>
      <c r="M3" s="65" t="s">
        <v>69</v>
      </c>
    </row>
    <row r="4" spans="1:13" ht="18.600000000000001" thickBot="1" x14ac:dyDescent="0.4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66" t="s">
        <v>70</v>
      </c>
    </row>
    <row r="5" spans="1:13" x14ac:dyDescent="0.35">
      <c r="A5" s="1" t="s">
        <v>33</v>
      </c>
      <c r="K5" s="3"/>
    </row>
    <row r="6" spans="1:13" x14ac:dyDescent="0.35">
      <c r="A6" s="1" t="s">
        <v>50</v>
      </c>
      <c r="K6" s="3" t="s">
        <v>49</v>
      </c>
    </row>
    <row r="7" spans="1:13" x14ac:dyDescent="0.35">
      <c r="A7" s="4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4"/>
    </row>
    <row r="8" spans="1:13" ht="18.600000000000001" thickBot="1" x14ac:dyDescent="0.4">
      <c r="A8" s="4" t="s">
        <v>10</v>
      </c>
      <c r="B8" s="73"/>
      <c r="C8" s="73"/>
      <c r="D8" s="73"/>
      <c r="E8" s="73"/>
      <c r="F8" s="5"/>
      <c r="G8" s="5"/>
      <c r="H8" s="6" t="s">
        <v>0</v>
      </c>
      <c r="I8" s="74"/>
      <c r="J8" s="74"/>
      <c r="K8" s="74"/>
      <c r="L8" s="74"/>
      <c r="M8" s="74"/>
    </row>
    <row r="9" spans="1:13" x14ac:dyDescent="0.35">
      <c r="A9" s="4"/>
      <c r="B9" s="4"/>
      <c r="C9" s="4"/>
      <c r="D9" s="4"/>
      <c r="E9" s="4"/>
      <c r="F9" s="5"/>
      <c r="G9" s="5"/>
      <c r="H9" s="43"/>
      <c r="I9" s="5"/>
      <c r="J9" s="5"/>
      <c r="K9" s="5"/>
      <c r="L9" s="5"/>
      <c r="M9" s="4"/>
    </row>
    <row r="10" spans="1:13" ht="18.600000000000001" thickBot="1" x14ac:dyDescent="0.4">
      <c r="A10" s="4" t="s">
        <v>34</v>
      </c>
      <c r="B10" s="82"/>
      <c r="C10" s="82"/>
      <c r="D10" s="82"/>
      <c r="E10" s="82"/>
      <c r="F10" s="4"/>
      <c r="G10" s="5"/>
      <c r="H10" s="7" t="s">
        <v>59</v>
      </c>
      <c r="I10" s="75"/>
      <c r="J10" s="75"/>
      <c r="K10" s="75"/>
      <c r="L10" s="75"/>
      <c r="M10" s="75"/>
    </row>
    <row r="11" spans="1:13" ht="20.399999999999999" x14ac:dyDescent="0.45">
      <c r="A11" s="4"/>
      <c r="B11" s="5"/>
      <c r="C11" s="5"/>
      <c r="D11" s="5"/>
      <c r="E11" s="5"/>
      <c r="F11" s="5"/>
      <c r="G11" s="5"/>
      <c r="H11" s="81" t="s">
        <v>60</v>
      </c>
      <c r="I11" s="81"/>
      <c r="J11" s="81"/>
      <c r="K11" s="81"/>
      <c r="L11" s="81"/>
      <c r="M11" s="81"/>
    </row>
    <row r="12" spans="1:13" x14ac:dyDescent="0.35">
      <c r="A12" s="8" t="s">
        <v>47</v>
      </c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</row>
    <row r="13" spans="1:13" ht="24" customHeight="1" thickBot="1" x14ac:dyDescent="0.4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</row>
    <row r="14" spans="1:13" ht="24" customHeight="1" thickBot="1" x14ac:dyDescent="0.4">
      <c r="A14" s="69"/>
      <c r="B14" s="69"/>
      <c r="C14" s="69"/>
      <c r="D14" s="69"/>
      <c r="E14" s="69"/>
      <c r="F14" s="69"/>
      <c r="G14" s="69"/>
      <c r="H14" s="69"/>
      <c r="I14" s="69"/>
      <c r="J14" s="69"/>
      <c r="K14" s="69"/>
      <c r="L14" s="69"/>
      <c r="M14" s="69"/>
    </row>
    <row r="15" spans="1:13" ht="24" customHeight="1" thickBot="1" x14ac:dyDescent="0.4">
      <c r="A15" s="69"/>
      <c r="B15" s="69"/>
      <c r="C15" s="69"/>
      <c r="D15" s="69"/>
      <c r="E15" s="69"/>
      <c r="F15" s="69"/>
      <c r="G15" s="69"/>
      <c r="H15" s="69"/>
      <c r="I15" s="69"/>
      <c r="J15" s="69"/>
      <c r="K15" s="69"/>
      <c r="L15" s="69"/>
      <c r="M15" s="69"/>
    </row>
    <row r="16" spans="1:13" ht="27" customHeight="1" thickBot="1" x14ac:dyDescent="0.4">
      <c r="A16" s="8" t="s">
        <v>57</v>
      </c>
      <c r="B16" s="8"/>
      <c r="C16" s="8"/>
      <c r="D16" s="4"/>
      <c r="E16" s="4"/>
      <c r="F16" s="4"/>
      <c r="G16" s="4"/>
      <c r="H16" s="70" t="s">
        <v>26</v>
      </c>
      <c r="I16" s="70"/>
      <c r="J16" s="70"/>
      <c r="K16" s="9" t="s">
        <v>9</v>
      </c>
      <c r="L16" s="5" t="s">
        <v>23</v>
      </c>
      <c r="M16" s="5" t="s">
        <v>15</v>
      </c>
    </row>
    <row r="17" spans="1:13" ht="36.6" thickBot="1" x14ac:dyDescent="0.4">
      <c r="A17" s="10" t="s">
        <v>0</v>
      </c>
      <c r="B17" s="10" t="s">
        <v>35</v>
      </c>
      <c r="C17" s="10" t="s">
        <v>1</v>
      </c>
      <c r="D17" s="10" t="s">
        <v>2</v>
      </c>
      <c r="E17" s="11" t="s">
        <v>24</v>
      </c>
      <c r="F17" s="12" t="s">
        <v>25</v>
      </c>
      <c r="G17" s="4"/>
      <c r="H17" s="1" t="s">
        <v>32</v>
      </c>
      <c r="J17" s="13"/>
      <c r="K17" s="45">
        <f>+F29</f>
        <v>0</v>
      </c>
      <c r="L17" s="67">
        <v>0.72499999999999998</v>
      </c>
      <c r="M17" s="46">
        <f>+L17*K17</f>
        <v>0</v>
      </c>
    </row>
    <row r="18" spans="1:13" ht="18.600000000000001" thickBot="1" x14ac:dyDescent="0.4">
      <c r="A18" s="51"/>
      <c r="B18" s="52"/>
      <c r="C18" s="52"/>
      <c r="D18" s="52"/>
      <c r="E18" s="53"/>
      <c r="F18" s="44"/>
      <c r="G18" s="4"/>
      <c r="H18" s="4" t="s">
        <v>31</v>
      </c>
      <c r="I18" s="4"/>
      <c r="J18" s="19"/>
      <c r="K18" s="20"/>
      <c r="L18" s="20"/>
      <c r="M18" s="54"/>
    </row>
    <row r="19" spans="1:13" ht="18.600000000000001" thickBot="1" x14ac:dyDescent="0.4">
      <c r="A19" s="51"/>
      <c r="B19" s="52"/>
      <c r="C19" s="52"/>
      <c r="D19" s="52"/>
      <c r="E19" s="53"/>
      <c r="F19" s="44"/>
      <c r="G19" s="4"/>
      <c r="H19" s="4" t="s">
        <v>28</v>
      </c>
      <c r="I19" s="4"/>
      <c r="J19" s="55"/>
      <c r="K19" s="19"/>
      <c r="L19" s="19"/>
      <c r="M19" s="56"/>
    </row>
    <row r="20" spans="1:13" ht="19.5" customHeight="1" thickBot="1" x14ac:dyDescent="0.4">
      <c r="A20" s="51"/>
      <c r="B20" s="52"/>
      <c r="C20" s="52"/>
      <c r="D20" s="52"/>
      <c r="E20" s="53"/>
      <c r="F20" s="44"/>
      <c r="G20" s="4"/>
      <c r="H20" s="4" t="s">
        <v>4</v>
      </c>
      <c r="I20" s="4"/>
      <c r="J20" s="68"/>
      <c r="K20" s="68"/>
      <c r="L20" s="68"/>
      <c r="M20" s="56"/>
    </row>
    <row r="21" spans="1:13" ht="19.5" customHeight="1" thickBot="1" x14ac:dyDescent="0.4">
      <c r="A21" s="51"/>
      <c r="B21" s="52"/>
      <c r="C21" s="52"/>
      <c r="D21" s="52"/>
      <c r="E21" s="53"/>
      <c r="F21" s="44"/>
      <c r="G21" s="4"/>
      <c r="H21" s="4" t="s">
        <v>5</v>
      </c>
      <c r="I21" s="4"/>
      <c r="J21" s="68"/>
      <c r="K21" s="68"/>
      <c r="L21" s="68"/>
      <c r="M21" s="56"/>
    </row>
    <row r="22" spans="1:13" ht="19.5" customHeight="1" thickBot="1" x14ac:dyDescent="0.4">
      <c r="A22" s="51"/>
      <c r="B22" s="52"/>
      <c r="C22" s="52"/>
      <c r="D22" s="52"/>
      <c r="E22" s="53"/>
      <c r="F22" s="44"/>
      <c r="G22" s="4"/>
      <c r="H22" s="4" t="s">
        <v>5</v>
      </c>
      <c r="I22" s="4"/>
      <c r="J22" s="68"/>
      <c r="K22" s="68"/>
      <c r="L22" s="68"/>
      <c r="M22" s="56"/>
    </row>
    <row r="23" spans="1:13" ht="19.5" customHeight="1" thickBot="1" x14ac:dyDescent="0.4">
      <c r="A23" s="51"/>
      <c r="B23" s="52"/>
      <c r="C23" s="52"/>
      <c r="D23" s="52"/>
      <c r="E23" s="53"/>
      <c r="F23" s="44"/>
      <c r="G23" s="4"/>
      <c r="H23" s="47" t="s">
        <v>21</v>
      </c>
      <c r="I23" s="47"/>
      <c r="J23" s="57"/>
      <c r="K23" s="57"/>
      <c r="L23" s="57"/>
      <c r="M23" s="56"/>
    </row>
    <row r="24" spans="1:13" ht="19.5" customHeight="1" thickBot="1" x14ac:dyDescent="0.4">
      <c r="A24" s="51"/>
      <c r="B24" s="52"/>
      <c r="C24" s="52"/>
      <c r="D24" s="52"/>
      <c r="E24" s="53"/>
      <c r="F24" s="44"/>
      <c r="G24" s="4"/>
      <c r="H24" s="63" t="s">
        <v>22</v>
      </c>
      <c r="I24" s="63"/>
      <c r="J24" s="63"/>
      <c r="K24" s="63"/>
      <c r="L24" s="64"/>
      <c r="M24" s="63"/>
    </row>
    <row r="25" spans="1:13" ht="19.5" customHeight="1" thickBot="1" x14ac:dyDescent="0.4">
      <c r="A25" s="51"/>
      <c r="B25" s="52"/>
      <c r="C25" s="52"/>
      <c r="D25" s="52"/>
      <c r="E25" s="53"/>
      <c r="F25" s="44"/>
      <c r="G25" s="4"/>
      <c r="H25" s="63"/>
      <c r="I25" s="63"/>
      <c r="J25" s="63"/>
      <c r="K25" s="63"/>
      <c r="L25" s="64"/>
      <c r="M25" s="63"/>
    </row>
    <row r="26" spans="1:13" ht="19.5" customHeight="1" thickBot="1" x14ac:dyDescent="0.4">
      <c r="A26" s="51"/>
      <c r="B26" s="52"/>
      <c r="C26" s="52"/>
      <c r="D26" s="52"/>
      <c r="E26" s="53"/>
      <c r="F26" s="44"/>
      <c r="G26" s="4"/>
      <c r="H26" s="63"/>
      <c r="I26" s="63"/>
      <c r="J26" s="63"/>
      <c r="K26" s="63"/>
      <c r="L26" s="64"/>
      <c r="M26" s="63"/>
    </row>
    <row r="27" spans="1:13" ht="19.5" customHeight="1" thickBot="1" x14ac:dyDescent="0.4">
      <c r="A27" s="51"/>
      <c r="B27" s="52"/>
      <c r="C27" s="52"/>
      <c r="D27" s="52"/>
      <c r="E27" s="53"/>
      <c r="F27" s="44"/>
      <c r="G27" s="4"/>
      <c r="H27" s="1" t="s">
        <v>37</v>
      </c>
      <c r="M27" s="58">
        <f>SUM(M17:M26)</f>
        <v>0</v>
      </c>
    </row>
    <row r="28" spans="1:13" ht="19.5" customHeight="1" thickBot="1" x14ac:dyDescent="0.4">
      <c r="A28" s="15" t="s">
        <v>3</v>
      </c>
      <c r="B28" s="62">
        <f>SUM(B18:B27)</f>
        <v>0</v>
      </c>
      <c r="C28" s="62">
        <f>SUM(C18:C27)</f>
        <v>0</v>
      </c>
      <c r="D28" s="62">
        <f>SUM(D18:D27)</f>
        <v>0</v>
      </c>
      <c r="E28" s="62">
        <f>SUM(E18:E27)</f>
        <v>0</v>
      </c>
      <c r="F28" s="44"/>
      <c r="H28" s="1" t="s">
        <v>38</v>
      </c>
      <c r="M28" s="59">
        <f>SUM(B28:E28)</f>
        <v>0</v>
      </c>
    </row>
    <row r="29" spans="1:13" ht="19.5" customHeight="1" thickBot="1" x14ac:dyDescent="0.4">
      <c r="A29" s="4"/>
      <c r="C29" s="4"/>
      <c r="D29" s="4"/>
      <c r="E29" s="38" t="s">
        <v>61</v>
      </c>
      <c r="F29" s="62">
        <f>'Mileage '!K38</f>
        <v>0</v>
      </c>
      <c r="G29" s="4"/>
      <c r="H29" s="4" t="s">
        <v>39</v>
      </c>
      <c r="I29" s="4"/>
      <c r="J29" s="4"/>
      <c r="K29" s="4"/>
      <c r="L29" s="4"/>
      <c r="M29" s="60">
        <f>+M27+M28</f>
        <v>0</v>
      </c>
    </row>
    <row r="30" spans="1:13" ht="18.600000000000001" thickBot="1" x14ac:dyDescent="0.4">
      <c r="A30" s="4"/>
      <c r="B30" s="4"/>
      <c r="C30" s="4"/>
      <c r="D30" s="4"/>
      <c r="E30" s="4"/>
      <c r="F30" s="4"/>
      <c r="G30" s="4"/>
      <c r="H30" s="7" t="s">
        <v>11</v>
      </c>
      <c r="I30" s="7"/>
      <c r="J30" s="7"/>
      <c r="K30" s="7"/>
      <c r="L30" s="7"/>
      <c r="M30" s="14"/>
    </row>
    <row r="31" spans="1:13" ht="18.600000000000001" thickBot="1" x14ac:dyDescent="0.4">
      <c r="A31" s="4"/>
      <c r="B31" s="4" t="s">
        <v>22</v>
      </c>
      <c r="C31" s="4"/>
      <c r="D31" s="4"/>
      <c r="E31" s="4"/>
      <c r="F31" s="4"/>
      <c r="G31" s="4"/>
      <c r="H31" s="4" t="s">
        <v>40</v>
      </c>
      <c r="I31" s="4"/>
      <c r="J31" s="4"/>
      <c r="K31" s="4"/>
      <c r="L31" s="4"/>
      <c r="M31" s="61">
        <f>M29-M30</f>
        <v>0</v>
      </c>
    </row>
    <row r="32" spans="1:13" ht="19.8" x14ac:dyDescent="0.35">
      <c r="A32" s="4"/>
      <c r="B32" s="4"/>
      <c r="C32" s="4"/>
      <c r="D32" s="4"/>
      <c r="E32" s="4"/>
      <c r="F32" s="4"/>
      <c r="G32" s="4"/>
      <c r="H32" s="16" t="s">
        <v>63</v>
      </c>
      <c r="I32" s="4"/>
      <c r="J32" s="4"/>
      <c r="K32" s="4"/>
      <c r="L32" s="4"/>
      <c r="M32" s="4"/>
    </row>
    <row r="33" spans="1:13" ht="19.8" x14ac:dyDescent="0.35">
      <c r="A33" s="85" t="s">
        <v>6</v>
      </c>
      <c r="B33" s="85"/>
      <c r="C33" s="85"/>
      <c r="D33" s="4"/>
      <c r="E33" s="4"/>
      <c r="F33" s="4"/>
      <c r="G33" s="4"/>
      <c r="H33" s="16"/>
      <c r="I33" s="4"/>
      <c r="J33" s="4"/>
      <c r="K33" s="87" t="s">
        <v>64</v>
      </c>
      <c r="L33" s="87"/>
      <c r="M33" s="4"/>
    </row>
    <row r="34" spans="1:13" x14ac:dyDescent="0.35">
      <c r="A34" s="86" t="s">
        <v>36</v>
      </c>
      <c r="B34" s="86"/>
      <c r="C34" s="86"/>
      <c r="D34" s="86"/>
      <c r="E34" s="86"/>
      <c r="F34" s="86"/>
      <c r="G34" s="4"/>
      <c r="H34" s="4"/>
      <c r="I34" s="4"/>
      <c r="J34" s="4"/>
      <c r="K34" s="87"/>
      <c r="L34" s="87"/>
      <c r="M34" s="4"/>
    </row>
    <row r="35" spans="1:13" x14ac:dyDescent="0.35">
      <c r="A35" s="86"/>
      <c r="B35" s="86"/>
      <c r="C35" s="86"/>
      <c r="D35" s="86"/>
      <c r="E35" s="86"/>
      <c r="F35" s="86"/>
      <c r="G35" s="4"/>
      <c r="H35" s="4"/>
      <c r="I35" s="4"/>
      <c r="J35" s="4"/>
      <c r="K35" s="87"/>
      <c r="L35" s="87"/>
      <c r="M35" s="4"/>
    </row>
    <row r="36" spans="1:13" ht="11.4" customHeight="1" x14ac:dyDescent="0.35">
      <c r="A36" s="4"/>
      <c r="B36" s="4"/>
      <c r="C36" s="4"/>
      <c r="D36" s="4"/>
      <c r="E36" s="4"/>
      <c r="F36" s="4"/>
      <c r="G36" s="4"/>
      <c r="H36" s="4"/>
      <c r="I36" s="4"/>
      <c r="J36" s="4"/>
      <c r="K36" s="87"/>
      <c r="L36" s="87"/>
      <c r="M36" s="4"/>
    </row>
    <row r="37" spans="1:13" ht="16.5" customHeight="1" thickBot="1" x14ac:dyDescent="0.4">
      <c r="A37" s="27" t="s">
        <v>0</v>
      </c>
      <c r="B37" s="27" t="s">
        <v>12</v>
      </c>
      <c r="C37" s="83" t="s">
        <v>46</v>
      </c>
      <c r="D37" s="83"/>
      <c r="E37" s="83"/>
      <c r="F37" s="83"/>
      <c r="G37" s="83"/>
      <c r="H37" s="84" t="s">
        <v>7</v>
      </c>
      <c r="I37" s="84"/>
      <c r="J37" s="84"/>
      <c r="K37" s="84"/>
      <c r="L37" s="84"/>
      <c r="M37" s="84"/>
    </row>
    <row r="38" spans="1:13" ht="19.5" customHeight="1" thickBot="1" x14ac:dyDescent="0.4">
      <c r="A38" s="28"/>
      <c r="B38" s="29"/>
      <c r="C38" s="77"/>
      <c r="D38" s="77"/>
      <c r="E38" s="77"/>
      <c r="F38" s="77"/>
      <c r="G38" s="77"/>
      <c r="H38" s="77"/>
      <c r="I38" s="77"/>
      <c r="J38" s="77"/>
      <c r="K38" s="77"/>
      <c r="L38" s="77"/>
      <c r="M38" s="77"/>
    </row>
    <row r="39" spans="1:13" ht="19.5" customHeight="1" thickBot="1" x14ac:dyDescent="0.4">
      <c r="A39" s="28"/>
      <c r="B39" s="30"/>
      <c r="C39" s="77"/>
      <c r="D39" s="77"/>
      <c r="E39" s="77"/>
      <c r="F39" s="77"/>
      <c r="G39" s="77"/>
      <c r="H39" s="77"/>
      <c r="I39" s="77"/>
      <c r="J39" s="77"/>
      <c r="K39" s="77"/>
      <c r="L39" s="77"/>
      <c r="M39" s="77"/>
    </row>
    <row r="40" spans="1:13" ht="19.5" customHeight="1" thickBot="1" x14ac:dyDescent="0.4">
      <c r="A40" s="28"/>
      <c r="B40" s="30"/>
      <c r="C40" s="77" t="s">
        <v>22</v>
      </c>
      <c r="D40" s="77"/>
      <c r="E40" s="77"/>
      <c r="F40" s="77"/>
      <c r="G40" s="77"/>
      <c r="H40" s="77"/>
      <c r="I40" s="77"/>
      <c r="J40" s="77"/>
      <c r="K40" s="77"/>
      <c r="L40" s="77"/>
      <c r="M40" s="77"/>
    </row>
    <row r="41" spans="1:13" ht="19.5" customHeight="1" thickBot="1" x14ac:dyDescent="0.4">
      <c r="A41" s="28"/>
      <c r="B41" s="30"/>
      <c r="C41" s="77"/>
      <c r="D41" s="77"/>
      <c r="E41" s="77"/>
      <c r="F41" s="77"/>
      <c r="G41" s="77"/>
      <c r="H41" s="77"/>
      <c r="I41" s="77"/>
      <c r="J41" s="77"/>
      <c r="K41" s="77"/>
      <c r="L41" s="77"/>
      <c r="M41" s="77"/>
    </row>
    <row r="42" spans="1:13" ht="18.600000000000001" thickBot="1" x14ac:dyDescent="0.4">
      <c r="A42" s="31"/>
      <c r="B42" s="32"/>
      <c r="C42" s="77"/>
      <c r="D42" s="77"/>
      <c r="E42" s="77"/>
      <c r="F42" s="77"/>
      <c r="G42" s="77"/>
      <c r="H42" s="77"/>
      <c r="I42" s="77"/>
      <c r="J42" s="77"/>
      <c r="K42" s="77"/>
      <c r="L42" s="77"/>
      <c r="M42" s="77"/>
    </row>
    <row r="43" spans="1:13" ht="43.5" customHeight="1" x14ac:dyDescent="0.35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</row>
    <row r="44" spans="1:13" x14ac:dyDescent="0.35">
      <c r="A44" s="36" t="s">
        <v>48</v>
      </c>
      <c r="B44" s="4"/>
      <c r="C44" s="4"/>
      <c r="D44" s="4"/>
      <c r="E44" s="4"/>
      <c r="F44" s="4"/>
      <c r="G44" s="4"/>
      <c r="H44" s="4"/>
      <c r="I44" s="79" t="s">
        <v>8</v>
      </c>
      <c r="J44" s="79"/>
      <c r="K44" s="79"/>
      <c r="L44" s="4"/>
      <c r="M44" s="37" t="s">
        <v>15</v>
      </c>
    </row>
    <row r="45" spans="1:13" ht="29.25" customHeight="1" thickBot="1" x14ac:dyDescent="0.4">
      <c r="A45" s="89" t="s">
        <v>13</v>
      </c>
      <c r="B45" s="89"/>
      <c r="C45" s="4"/>
      <c r="D45" s="73"/>
      <c r="E45" s="73"/>
      <c r="F45" s="73"/>
      <c r="G45" s="73"/>
      <c r="H45" s="4" t="s">
        <v>22</v>
      </c>
      <c r="I45" s="78"/>
      <c r="J45" s="78"/>
      <c r="K45" s="78"/>
      <c r="L45" s="4"/>
      <c r="M45" s="18"/>
    </row>
    <row r="46" spans="1:13" ht="18.600000000000001" thickBot="1" x14ac:dyDescent="0.4">
      <c r="A46" s="4"/>
      <c r="B46" s="4"/>
      <c r="C46" s="4"/>
      <c r="D46" s="19" t="s">
        <v>14</v>
      </c>
      <c r="E46" s="19"/>
      <c r="F46" s="19"/>
      <c r="G46" s="19" t="s">
        <v>0</v>
      </c>
      <c r="H46" s="4"/>
      <c r="I46" s="78"/>
      <c r="J46" s="78"/>
      <c r="K46" s="78"/>
      <c r="L46" s="4"/>
      <c r="M46" s="18"/>
    </row>
    <row r="47" spans="1:13" ht="19.5" customHeight="1" thickBot="1" x14ac:dyDescent="0.4">
      <c r="A47" s="17" t="s">
        <v>17</v>
      </c>
      <c r="B47" s="38"/>
      <c r="C47" s="4"/>
      <c r="D47" s="19"/>
      <c r="E47" s="19"/>
      <c r="F47" s="19"/>
      <c r="G47" s="19"/>
      <c r="H47" s="4"/>
      <c r="I47" s="76"/>
      <c r="J47" s="76"/>
      <c r="K47" s="76"/>
      <c r="L47" s="4"/>
      <c r="M47" s="18"/>
    </row>
    <row r="48" spans="1:13" ht="31.5" customHeight="1" thickBot="1" x14ac:dyDescent="0.4">
      <c r="A48" s="4"/>
      <c r="B48" s="38" t="s">
        <v>18</v>
      </c>
      <c r="C48" s="4"/>
      <c r="D48" s="20"/>
      <c r="E48" s="20"/>
      <c r="F48" s="20"/>
      <c r="G48" s="20"/>
      <c r="H48" s="4"/>
      <c r="I48" s="88"/>
      <c r="J48" s="88"/>
      <c r="K48" s="88"/>
      <c r="L48" s="4"/>
      <c r="M48" s="18"/>
    </row>
    <row r="49" spans="1:13" ht="18.600000000000001" thickBot="1" x14ac:dyDescent="0.4">
      <c r="A49" s="4"/>
      <c r="B49" s="4"/>
      <c r="C49" s="4"/>
      <c r="D49" s="19" t="s">
        <v>29</v>
      </c>
      <c r="E49" s="19"/>
      <c r="F49" s="19"/>
      <c r="G49" s="19"/>
      <c r="H49" s="4"/>
      <c r="I49" s="4" t="s">
        <v>65</v>
      </c>
      <c r="J49" s="4"/>
      <c r="K49" s="4"/>
      <c r="L49" s="4"/>
      <c r="M49" s="21">
        <f>SUM(M45:M48)</f>
        <v>0</v>
      </c>
    </row>
    <row r="50" spans="1:13" x14ac:dyDescent="0.35">
      <c r="A50" s="4"/>
      <c r="B50" s="4"/>
      <c r="C50" s="4"/>
      <c r="D50" s="19"/>
      <c r="E50" s="19"/>
      <c r="F50" s="19"/>
      <c r="G50" s="19"/>
      <c r="H50" s="4"/>
      <c r="I50" s="4"/>
      <c r="J50" s="4"/>
      <c r="K50" s="4"/>
      <c r="L50" s="4"/>
      <c r="M50" s="4"/>
    </row>
    <row r="51" spans="1:13" ht="18.600000000000001" thickBot="1" x14ac:dyDescent="0.4">
      <c r="A51" s="4"/>
      <c r="B51" s="38" t="s">
        <v>16</v>
      </c>
      <c r="C51" s="4"/>
      <c r="D51" s="20"/>
      <c r="E51" s="20"/>
      <c r="F51" s="20"/>
      <c r="G51" s="20"/>
      <c r="H51" s="4"/>
      <c r="I51" s="4"/>
      <c r="J51" s="4"/>
      <c r="K51" s="4"/>
      <c r="L51" s="4"/>
    </row>
    <row r="52" spans="1:13" x14ac:dyDescent="0.35">
      <c r="A52" s="4"/>
      <c r="B52" s="4"/>
      <c r="C52" s="4"/>
      <c r="D52" s="19" t="s">
        <v>29</v>
      </c>
      <c r="E52" s="22"/>
      <c r="F52" s="19"/>
      <c r="G52" s="19" t="s">
        <v>0</v>
      </c>
      <c r="H52" s="4"/>
      <c r="I52" s="4" t="s">
        <v>66</v>
      </c>
      <c r="J52" s="4"/>
      <c r="K52" s="4"/>
      <c r="L52" s="4"/>
      <c r="M52" s="23">
        <f>+M29-M49</f>
        <v>0</v>
      </c>
    </row>
    <row r="53" spans="1:13" ht="11.1" customHeight="1" x14ac:dyDescent="0.35">
      <c r="B53" s="4"/>
      <c r="C53" s="4"/>
      <c r="D53" s="19"/>
      <c r="E53" s="19"/>
      <c r="F53" s="19"/>
      <c r="G53" s="19"/>
      <c r="H53" s="4"/>
      <c r="I53" s="80" t="s">
        <v>67</v>
      </c>
      <c r="J53" s="80"/>
      <c r="K53" s="80"/>
      <c r="L53" s="4"/>
    </row>
    <row r="54" spans="1:13" ht="18.600000000000001" thickBot="1" x14ac:dyDescent="0.4">
      <c r="A54" s="4"/>
      <c r="B54" s="39" t="s">
        <v>16</v>
      </c>
      <c r="C54" s="4"/>
      <c r="D54" s="20"/>
      <c r="E54" s="20"/>
      <c r="F54" s="20"/>
      <c r="G54" s="20"/>
      <c r="H54" s="4"/>
      <c r="I54" s="80"/>
      <c r="J54" s="80"/>
      <c r="K54" s="80"/>
      <c r="L54" s="24"/>
      <c r="M54" s="25"/>
    </row>
    <row r="55" spans="1:13" x14ac:dyDescent="0.35">
      <c r="B55" s="4" t="s">
        <v>43</v>
      </c>
      <c r="C55" s="4"/>
      <c r="D55" s="19" t="s">
        <v>30</v>
      </c>
      <c r="E55" s="22"/>
      <c r="F55" s="19"/>
      <c r="G55" s="19" t="s">
        <v>0</v>
      </c>
      <c r="I55" s="26"/>
    </row>
    <row r="56" spans="1:13" ht="17.399999999999999" customHeight="1" x14ac:dyDescent="0.35">
      <c r="B56" s="16"/>
      <c r="C56" s="16"/>
      <c r="D56" s="4"/>
    </row>
    <row r="57" spans="1:13" ht="17.399999999999999" customHeight="1" thickBot="1" x14ac:dyDescent="0.4">
      <c r="B57" s="39" t="s">
        <v>16</v>
      </c>
      <c r="C57" s="4"/>
      <c r="D57" s="20"/>
      <c r="E57" s="20"/>
      <c r="F57" s="20"/>
      <c r="G57" s="20"/>
    </row>
    <row r="58" spans="1:13" x14ac:dyDescent="0.35">
      <c r="B58" s="4" t="s">
        <v>44</v>
      </c>
      <c r="C58" s="4"/>
      <c r="D58" s="19" t="s">
        <v>45</v>
      </c>
      <c r="E58" s="22"/>
      <c r="F58" s="19"/>
      <c r="G58" s="19" t="s">
        <v>0</v>
      </c>
    </row>
  </sheetData>
  <sheetProtection selectLockedCells="1"/>
  <mergeCells count="36">
    <mergeCell ref="I53:K54"/>
    <mergeCell ref="H11:M11"/>
    <mergeCell ref="B10:E10"/>
    <mergeCell ref="H38:M38"/>
    <mergeCell ref="C39:G39"/>
    <mergeCell ref="C41:G41"/>
    <mergeCell ref="H41:M41"/>
    <mergeCell ref="C38:G38"/>
    <mergeCell ref="C37:G37"/>
    <mergeCell ref="H37:M37"/>
    <mergeCell ref="A33:C33"/>
    <mergeCell ref="A34:F35"/>
    <mergeCell ref="K33:L36"/>
    <mergeCell ref="I48:K48"/>
    <mergeCell ref="A45:B45"/>
    <mergeCell ref="I46:K46"/>
    <mergeCell ref="I47:K47"/>
    <mergeCell ref="H39:M39"/>
    <mergeCell ref="C40:G40"/>
    <mergeCell ref="H40:M40"/>
    <mergeCell ref="C42:G42"/>
    <mergeCell ref="H42:M42"/>
    <mergeCell ref="D45:G45"/>
    <mergeCell ref="I45:K45"/>
    <mergeCell ref="I44:K44"/>
    <mergeCell ref="A2:L2"/>
    <mergeCell ref="A3:L3"/>
    <mergeCell ref="B8:E8"/>
    <mergeCell ref="I8:M8"/>
    <mergeCell ref="I10:M10"/>
    <mergeCell ref="J21:L21"/>
    <mergeCell ref="J22:L22"/>
    <mergeCell ref="A14:M14"/>
    <mergeCell ref="A15:M15"/>
    <mergeCell ref="H16:J16"/>
    <mergeCell ref="J20:L20"/>
  </mergeCells>
  <dataValidations count="5">
    <dataValidation type="custom" allowBlank="1" showInputMessage="1" showErrorMessage="1" error="Do not enter miles here.  Enter on the second page.  Thank you" prompt="Enter mileage on mileage page (2nd tab in workbook)." sqref="F18:F28" xr:uid="{38C29D92-63FF-4E4F-A7E2-59D17426A9F2}">
      <formula1>"wesg"</formula1>
    </dataValidation>
    <dataValidation type="custom" allowBlank="1" showInputMessage="1" showErrorMessage="1" prompt="These are calculated cells. " sqref="M49 M52 M31 B28:E28 F29" xr:uid="{45C32AA9-8A3B-4BFE-BFEA-53E09A203122}">
      <formula1>"asdf"</formula1>
    </dataValidation>
    <dataValidation type="custom" allowBlank="1" showInputMessage="1" showErrorMessage="1" error="Please enter mileage on the second page.  This will calculate. " prompt="This is a calculated cell from second page." sqref="K17" xr:uid="{A949CD3E-0D14-4138-A681-FC8EE0EF4278}">
      <formula1>"aasdfasdf"</formula1>
    </dataValidation>
    <dataValidation type="custom" allowBlank="1" showInputMessage="1" showErrorMessage="1" error="This is the this 2024 IRS rate. " sqref="L17" xr:uid="{F9BDF31D-EBAD-49AB-A757-687FB5DD4554}">
      <formula1>"asdf"</formula1>
    </dataValidation>
    <dataValidation type="custom" allowBlank="1" showInputMessage="1" showErrorMessage="1" error="This is calculated cell.  " sqref="M17" xr:uid="{6F6E86B1-BAAB-456C-AA19-8EFF4022AFDB}">
      <formula1>"asdfasdf"</formula1>
    </dataValidation>
  </dataValidations>
  <hyperlinks>
    <hyperlink ref="K6" r:id="rId1" display="[Service Ticket]" xr:uid="{F8804DBE-C596-411C-A248-5AD00CE62443}"/>
  </hyperlinks>
  <pageMargins left="0.25" right="0.25" top="0.75" bottom="0.75" header="0.3" footer="0.3"/>
  <pageSetup scale="59" orientation="portrait" horizontalDpi="200" verticalDpi="200" r:id="rId2"/>
  <headerFooter alignWithMargins="0">
    <oddFooter>&amp;RForm version 01/08/2025</oddFooter>
  </headerFooter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2:L38"/>
  <sheetViews>
    <sheetView zoomScaleNormal="100" workbookViewId="0">
      <selection activeCell="M22" sqref="M22"/>
    </sheetView>
  </sheetViews>
  <sheetFormatPr defaultColWidth="9.109375" defaultRowHeight="18" x14ac:dyDescent="0.35"/>
  <cols>
    <col min="1" max="1" width="12.6640625" style="1" customWidth="1"/>
    <col min="2" max="2" width="11.88671875" style="1" customWidth="1"/>
    <col min="3" max="3" width="11.5546875" style="1" bestFit="1" customWidth="1"/>
    <col min="4" max="4" width="11.6640625" style="1" customWidth="1"/>
    <col min="5" max="5" width="24.88671875" style="1" customWidth="1"/>
    <col min="6" max="6" width="13.109375" style="1" bestFit="1" customWidth="1"/>
    <col min="7" max="7" width="13.109375" style="1" customWidth="1"/>
    <col min="8" max="8" width="9.109375" style="1"/>
    <col min="9" max="9" width="11.33203125" style="1" customWidth="1"/>
    <col min="10" max="10" width="9.109375" style="1"/>
    <col min="11" max="11" width="9.33203125" style="1" bestFit="1" customWidth="1"/>
    <col min="12" max="12" width="10.44140625" style="1" bestFit="1" customWidth="1"/>
    <col min="13" max="13" width="14.109375" style="1" customWidth="1"/>
    <col min="14" max="16384" width="9.109375" style="1"/>
  </cols>
  <sheetData>
    <row r="2" spans="1:12" ht="23.4" x14ac:dyDescent="0.45">
      <c r="A2" s="71" t="s">
        <v>27</v>
      </c>
      <c r="B2" s="71"/>
      <c r="C2" s="71"/>
      <c r="D2" s="71"/>
      <c r="E2" s="71"/>
      <c r="F2" s="71"/>
      <c r="G2" s="71"/>
      <c r="H2" s="71"/>
      <c r="I2" s="71"/>
      <c r="J2" s="71"/>
      <c r="K2" s="71"/>
      <c r="L2" s="33"/>
    </row>
    <row r="3" spans="1:12" x14ac:dyDescent="0.35">
      <c r="A3" s="72" t="s">
        <v>41</v>
      </c>
      <c r="B3" s="72"/>
      <c r="C3" s="72"/>
      <c r="D3" s="72"/>
      <c r="E3" s="72"/>
      <c r="F3" s="72"/>
      <c r="G3" s="72"/>
      <c r="H3" s="72"/>
      <c r="I3" s="72"/>
      <c r="J3" s="72"/>
      <c r="K3" s="72"/>
      <c r="L3" s="33"/>
    </row>
    <row r="6" spans="1:12" x14ac:dyDescent="0.35">
      <c r="A6" s="1" t="s">
        <v>33</v>
      </c>
      <c r="J6" s="3"/>
    </row>
    <row r="7" spans="1:12" x14ac:dyDescent="0.35">
      <c r="A7" s="1" t="s">
        <v>58</v>
      </c>
    </row>
    <row r="10" spans="1:12" ht="18.600000000000001" thickBot="1" x14ac:dyDescent="0.4">
      <c r="A10" s="35" t="s">
        <v>0</v>
      </c>
      <c r="B10" s="93" t="s">
        <v>7</v>
      </c>
      <c r="C10" s="93"/>
      <c r="D10" s="93"/>
      <c r="E10" s="93"/>
      <c r="F10" s="93" t="s">
        <v>20</v>
      </c>
      <c r="G10" s="93"/>
      <c r="H10" s="93" t="s">
        <v>19</v>
      </c>
      <c r="I10" s="93"/>
      <c r="J10" s="93"/>
      <c r="K10" s="35" t="s">
        <v>9</v>
      </c>
    </row>
    <row r="11" spans="1:12" ht="18.600000000000001" thickBot="1" x14ac:dyDescent="0.4">
      <c r="A11" s="41">
        <v>45108</v>
      </c>
      <c r="B11" s="94" t="s">
        <v>52</v>
      </c>
      <c r="C11" s="95"/>
      <c r="D11" s="95"/>
      <c r="E11" s="96"/>
      <c r="F11" s="94" t="s">
        <v>51</v>
      </c>
      <c r="G11" s="96"/>
      <c r="H11" s="95" t="s">
        <v>55</v>
      </c>
      <c r="I11" s="95"/>
      <c r="J11" s="96"/>
      <c r="K11" s="42">
        <v>10</v>
      </c>
    </row>
    <row r="12" spans="1:12" ht="18.600000000000001" thickBot="1" x14ac:dyDescent="0.4">
      <c r="A12" s="41">
        <v>45122</v>
      </c>
      <c r="B12" s="94" t="s">
        <v>56</v>
      </c>
      <c r="C12" s="95"/>
      <c r="D12" s="95"/>
      <c r="E12" s="96"/>
      <c r="F12" s="94" t="s">
        <v>53</v>
      </c>
      <c r="G12" s="96"/>
      <c r="H12" s="95" t="s">
        <v>54</v>
      </c>
      <c r="I12" s="95"/>
      <c r="J12" s="96"/>
      <c r="K12" s="42">
        <v>10</v>
      </c>
    </row>
    <row r="13" spans="1:12" x14ac:dyDescent="0.35">
      <c r="A13" s="48" t="s">
        <v>62</v>
      </c>
    </row>
    <row r="15" spans="1:12" ht="18.600000000000001" thickBot="1" x14ac:dyDescent="0.4">
      <c r="A15" s="35" t="s">
        <v>0</v>
      </c>
      <c r="B15" s="93" t="s">
        <v>7</v>
      </c>
      <c r="C15" s="93"/>
      <c r="D15" s="93"/>
      <c r="E15" s="93"/>
      <c r="F15" s="93" t="s">
        <v>20</v>
      </c>
      <c r="G15" s="93"/>
      <c r="H15" s="93" t="s">
        <v>19</v>
      </c>
      <c r="I15" s="93"/>
      <c r="J15" s="93"/>
      <c r="K15" s="35" t="s">
        <v>9</v>
      </c>
    </row>
    <row r="16" spans="1:12" ht="18.600000000000001" thickBot="1" x14ac:dyDescent="0.4">
      <c r="A16" s="49"/>
      <c r="B16" s="92"/>
      <c r="C16" s="90"/>
      <c r="D16" s="90"/>
      <c r="E16" s="91"/>
      <c r="F16" s="92"/>
      <c r="G16" s="91"/>
      <c r="H16" s="90"/>
      <c r="I16" s="90"/>
      <c r="J16" s="91"/>
      <c r="K16" s="50"/>
    </row>
    <row r="17" spans="1:11" ht="18.600000000000001" thickBot="1" x14ac:dyDescent="0.4">
      <c r="A17" s="49"/>
      <c r="B17" s="92"/>
      <c r="C17" s="90"/>
      <c r="D17" s="90"/>
      <c r="E17" s="91"/>
      <c r="F17" s="92"/>
      <c r="G17" s="91"/>
      <c r="H17" s="90"/>
      <c r="I17" s="90"/>
      <c r="J17" s="91"/>
      <c r="K17" s="50"/>
    </row>
    <row r="18" spans="1:11" ht="18.600000000000001" thickBot="1" x14ac:dyDescent="0.4">
      <c r="A18" s="49"/>
      <c r="B18" s="92"/>
      <c r="C18" s="90"/>
      <c r="D18" s="90"/>
      <c r="E18" s="91"/>
      <c r="F18" s="92"/>
      <c r="G18" s="91"/>
      <c r="H18" s="90"/>
      <c r="I18" s="90"/>
      <c r="J18" s="91"/>
      <c r="K18" s="50"/>
    </row>
    <row r="19" spans="1:11" ht="18.600000000000001" thickBot="1" x14ac:dyDescent="0.4">
      <c r="A19" s="49"/>
      <c r="B19" s="92"/>
      <c r="C19" s="90"/>
      <c r="D19" s="90"/>
      <c r="E19" s="91"/>
      <c r="F19" s="92"/>
      <c r="G19" s="91"/>
      <c r="H19" s="90"/>
      <c r="I19" s="90"/>
      <c r="J19" s="91"/>
      <c r="K19" s="50"/>
    </row>
    <row r="20" spans="1:11" ht="18.600000000000001" thickBot="1" x14ac:dyDescent="0.4">
      <c r="A20" s="49"/>
      <c r="B20" s="92"/>
      <c r="C20" s="90"/>
      <c r="D20" s="90"/>
      <c r="E20" s="91"/>
      <c r="F20" s="92"/>
      <c r="G20" s="91"/>
      <c r="H20" s="90"/>
      <c r="I20" s="90"/>
      <c r="J20" s="91"/>
      <c r="K20" s="50"/>
    </row>
    <row r="21" spans="1:11" ht="18.600000000000001" thickBot="1" x14ac:dyDescent="0.4">
      <c r="A21" s="49"/>
      <c r="B21" s="92"/>
      <c r="C21" s="90"/>
      <c r="D21" s="90"/>
      <c r="E21" s="91"/>
      <c r="F21" s="92"/>
      <c r="G21" s="91"/>
      <c r="H21" s="90"/>
      <c r="I21" s="90"/>
      <c r="J21" s="91"/>
      <c r="K21" s="50"/>
    </row>
    <row r="22" spans="1:11" ht="18.600000000000001" thickBot="1" x14ac:dyDescent="0.4">
      <c r="A22" s="49"/>
      <c r="B22" s="92"/>
      <c r="C22" s="90"/>
      <c r="D22" s="90"/>
      <c r="E22" s="91"/>
      <c r="F22" s="92"/>
      <c r="G22" s="91"/>
      <c r="H22" s="90"/>
      <c r="I22" s="90"/>
      <c r="J22" s="91"/>
      <c r="K22" s="50"/>
    </row>
    <row r="23" spans="1:11" ht="18.600000000000001" thickBot="1" x14ac:dyDescent="0.4">
      <c r="A23" s="49"/>
      <c r="B23" s="92"/>
      <c r="C23" s="90"/>
      <c r="D23" s="90"/>
      <c r="E23" s="91"/>
      <c r="F23" s="92"/>
      <c r="G23" s="91"/>
      <c r="H23" s="90"/>
      <c r="I23" s="90"/>
      <c r="J23" s="91"/>
      <c r="K23" s="50"/>
    </row>
    <row r="24" spans="1:11" ht="18.600000000000001" thickBot="1" x14ac:dyDescent="0.4">
      <c r="A24" s="49"/>
      <c r="B24" s="92"/>
      <c r="C24" s="90"/>
      <c r="D24" s="90"/>
      <c r="E24" s="91"/>
      <c r="F24" s="92"/>
      <c r="G24" s="91"/>
      <c r="H24" s="90"/>
      <c r="I24" s="90"/>
      <c r="J24" s="91"/>
      <c r="K24" s="50"/>
    </row>
    <row r="25" spans="1:11" ht="18.600000000000001" thickBot="1" x14ac:dyDescent="0.4">
      <c r="A25" s="49"/>
      <c r="B25" s="92"/>
      <c r="C25" s="90"/>
      <c r="D25" s="90"/>
      <c r="E25" s="91"/>
      <c r="F25" s="92"/>
      <c r="G25" s="91"/>
      <c r="H25" s="90"/>
      <c r="I25" s="90"/>
      <c r="J25" s="91"/>
      <c r="K25" s="50"/>
    </row>
    <row r="26" spans="1:11" ht="18.600000000000001" thickBot="1" x14ac:dyDescent="0.4">
      <c r="A26" s="49"/>
      <c r="B26" s="92"/>
      <c r="C26" s="90"/>
      <c r="D26" s="90"/>
      <c r="E26" s="91"/>
      <c r="F26" s="92"/>
      <c r="G26" s="91"/>
      <c r="H26" s="90"/>
      <c r="I26" s="90"/>
      <c r="J26" s="91"/>
      <c r="K26" s="50"/>
    </row>
    <row r="27" spans="1:11" ht="18.600000000000001" thickBot="1" x14ac:dyDescent="0.4">
      <c r="A27" s="49"/>
      <c r="B27" s="92"/>
      <c r="C27" s="90"/>
      <c r="D27" s="90"/>
      <c r="E27" s="91"/>
      <c r="F27" s="92"/>
      <c r="G27" s="91"/>
      <c r="H27" s="90"/>
      <c r="I27" s="90"/>
      <c r="J27" s="91"/>
      <c r="K27" s="50"/>
    </row>
    <row r="28" spans="1:11" ht="18.600000000000001" thickBot="1" x14ac:dyDescent="0.4">
      <c r="A28" s="49"/>
      <c r="B28" s="92"/>
      <c r="C28" s="90"/>
      <c r="D28" s="90"/>
      <c r="E28" s="91"/>
      <c r="F28" s="92"/>
      <c r="G28" s="91"/>
      <c r="H28" s="90"/>
      <c r="I28" s="90"/>
      <c r="J28" s="91"/>
      <c r="K28" s="50"/>
    </row>
    <row r="29" spans="1:11" ht="18.600000000000001" thickBot="1" x14ac:dyDescent="0.4">
      <c r="A29" s="49"/>
      <c r="B29" s="92"/>
      <c r="C29" s="90"/>
      <c r="D29" s="90"/>
      <c r="E29" s="91"/>
      <c r="F29" s="92"/>
      <c r="G29" s="91"/>
      <c r="H29" s="90"/>
      <c r="I29" s="90"/>
      <c r="J29" s="91"/>
      <c r="K29" s="50"/>
    </row>
    <row r="30" spans="1:11" ht="18.600000000000001" thickBot="1" x14ac:dyDescent="0.4">
      <c r="A30" s="49"/>
      <c r="B30" s="92"/>
      <c r="C30" s="90"/>
      <c r="D30" s="90"/>
      <c r="E30" s="91"/>
      <c r="F30" s="92"/>
      <c r="G30" s="91"/>
      <c r="H30" s="90"/>
      <c r="I30" s="90"/>
      <c r="J30" s="91"/>
      <c r="K30" s="50"/>
    </row>
    <row r="31" spans="1:11" ht="18.600000000000001" thickBot="1" x14ac:dyDescent="0.4">
      <c r="A31" s="49"/>
      <c r="B31" s="92"/>
      <c r="C31" s="90"/>
      <c r="D31" s="90"/>
      <c r="E31" s="91"/>
      <c r="F31" s="92"/>
      <c r="G31" s="91"/>
      <c r="H31" s="90"/>
      <c r="I31" s="90"/>
      <c r="J31" s="91"/>
      <c r="K31" s="50"/>
    </row>
    <row r="32" spans="1:11" ht="18.600000000000001" thickBot="1" x14ac:dyDescent="0.4">
      <c r="A32" s="49"/>
      <c r="B32" s="92"/>
      <c r="C32" s="90"/>
      <c r="D32" s="90"/>
      <c r="E32" s="91"/>
      <c r="F32" s="92"/>
      <c r="G32" s="91"/>
      <c r="H32" s="90"/>
      <c r="I32" s="90"/>
      <c r="J32" s="91"/>
      <c r="K32" s="50"/>
    </row>
    <row r="33" spans="1:11" ht="18.600000000000001" thickBot="1" x14ac:dyDescent="0.4">
      <c r="A33" s="49"/>
      <c r="B33" s="92"/>
      <c r="C33" s="90"/>
      <c r="D33" s="90"/>
      <c r="E33" s="91"/>
      <c r="F33" s="92"/>
      <c r="G33" s="91"/>
      <c r="H33" s="90"/>
      <c r="I33" s="90"/>
      <c r="J33" s="91"/>
      <c r="K33" s="50"/>
    </row>
    <row r="34" spans="1:11" ht="18.600000000000001" thickBot="1" x14ac:dyDescent="0.4">
      <c r="A34" s="49"/>
      <c r="B34" s="92"/>
      <c r="C34" s="90"/>
      <c r="D34" s="90"/>
      <c r="E34" s="91"/>
      <c r="F34" s="92"/>
      <c r="G34" s="91"/>
      <c r="H34" s="90"/>
      <c r="I34" s="90"/>
      <c r="J34" s="91"/>
      <c r="K34" s="50"/>
    </row>
    <row r="35" spans="1:11" ht="18.600000000000001" thickBot="1" x14ac:dyDescent="0.4">
      <c r="A35" s="49"/>
      <c r="B35" s="92"/>
      <c r="C35" s="90"/>
      <c r="D35" s="90"/>
      <c r="E35" s="91"/>
      <c r="F35" s="92"/>
      <c r="G35" s="91"/>
      <c r="H35" s="90"/>
      <c r="I35" s="90"/>
      <c r="J35" s="91"/>
      <c r="K35" s="50"/>
    </row>
    <row r="36" spans="1:11" ht="18.600000000000001" thickBot="1" x14ac:dyDescent="0.4">
      <c r="A36" s="49"/>
      <c r="B36" s="92"/>
      <c r="C36" s="90"/>
      <c r="D36" s="90"/>
      <c r="E36" s="91"/>
      <c r="F36" s="92"/>
      <c r="G36" s="91"/>
      <c r="H36" s="90"/>
      <c r="I36" s="90"/>
      <c r="J36" s="91"/>
      <c r="K36" s="50"/>
    </row>
    <row r="37" spans="1:11" ht="18.600000000000001" thickBot="1" x14ac:dyDescent="0.4">
      <c r="A37" s="49"/>
      <c r="B37" s="92"/>
      <c r="C37" s="90"/>
      <c r="D37" s="90"/>
      <c r="E37" s="91"/>
      <c r="F37" s="92"/>
      <c r="G37" s="91"/>
      <c r="H37" s="90"/>
      <c r="I37" s="90"/>
      <c r="J37" s="91"/>
      <c r="K37" s="50"/>
    </row>
    <row r="38" spans="1:11" ht="18.600000000000001" thickBot="1" x14ac:dyDescent="0.4">
      <c r="A38" s="1" t="s">
        <v>22</v>
      </c>
      <c r="J38" s="34" t="s">
        <v>42</v>
      </c>
      <c r="K38" s="40">
        <f>SUM(K16:K37)</f>
        <v>0</v>
      </c>
    </row>
  </sheetData>
  <sheetProtection selectLockedCells="1"/>
  <mergeCells count="80">
    <mergeCell ref="H24:J24"/>
    <mergeCell ref="H25:J25"/>
    <mergeCell ref="B10:E10"/>
    <mergeCell ref="F10:G10"/>
    <mergeCell ref="H10:J10"/>
    <mergeCell ref="B11:E11"/>
    <mergeCell ref="F11:G11"/>
    <mergeCell ref="H11:J11"/>
    <mergeCell ref="B12:E12"/>
    <mergeCell ref="F12:G12"/>
    <mergeCell ref="H12:J12"/>
    <mergeCell ref="H36:J36"/>
    <mergeCell ref="H34:J34"/>
    <mergeCell ref="H28:J28"/>
    <mergeCell ref="H29:J29"/>
    <mergeCell ref="H30:J30"/>
    <mergeCell ref="H33:J33"/>
    <mergeCell ref="H35:J35"/>
    <mergeCell ref="H31:J31"/>
    <mergeCell ref="H32:J32"/>
    <mergeCell ref="F26:G26"/>
    <mergeCell ref="F25:G25"/>
    <mergeCell ref="H26:J26"/>
    <mergeCell ref="F19:G19"/>
    <mergeCell ref="F18:G18"/>
    <mergeCell ref="H18:J18"/>
    <mergeCell ref="H19:J19"/>
    <mergeCell ref="H21:J21"/>
    <mergeCell ref="H20:J20"/>
    <mergeCell ref="F24:G24"/>
    <mergeCell ref="F23:G23"/>
    <mergeCell ref="F22:G22"/>
    <mergeCell ref="F21:G21"/>
    <mergeCell ref="F20:G20"/>
    <mergeCell ref="H22:J22"/>
    <mergeCell ref="H23:J23"/>
    <mergeCell ref="F32:G32"/>
    <mergeCell ref="F31:G31"/>
    <mergeCell ref="F30:G30"/>
    <mergeCell ref="F29:G29"/>
    <mergeCell ref="F28:G28"/>
    <mergeCell ref="F36:G36"/>
    <mergeCell ref="B33:E33"/>
    <mergeCell ref="B34:E34"/>
    <mergeCell ref="B35:E35"/>
    <mergeCell ref="B36:E36"/>
    <mergeCell ref="F35:G35"/>
    <mergeCell ref="F34:G34"/>
    <mergeCell ref="F33:G33"/>
    <mergeCell ref="B28:E28"/>
    <mergeCell ref="B29:E29"/>
    <mergeCell ref="B30:E30"/>
    <mergeCell ref="B31:E31"/>
    <mergeCell ref="B32:E32"/>
    <mergeCell ref="A2:K2"/>
    <mergeCell ref="A3:K3"/>
    <mergeCell ref="B18:E18"/>
    <mergeCell ref="B19:E19"/>
    <mergeCell ref="B20:E20"/>
    <mergeCell ref="H16:J16"/>
    <mergeCell ref="H17:J17"/>
    <mergeCell ref="F15:G15"/>
    <mergeCell ref="H15:J15"/>
    <mergeCell ref="B15:E15"/>
    <mergeCell ref="H27:J27"/>
    <mergeCell ref="H37:J37"/>
    <mergeCell ref="B37:E37"/>
    <mergeCell ref="F16:G16"/>
    <mergeCell ref="F17:G17"/>
    <mergeCell ref="F27:G27"/>
    <mergeCell ref="F37:G37"/>
    <mergeCell ref="B16:E16"/>
    <mergeCell ref="B17:E17"/>
    <mergeCell ref="B27:E27"/>
    <mergeCell ref="B21:E21"/>
    <mergeCell ref="B22:E22"/>
    <mergeCell ref="B23:E23"/>
    <mergeCell ref="B24:E24"/>
    <mergeCell ref="B25:E25"/>
    <mergeCell ref="B26:E26"/>
  </mergeCells>
  <phoneticPr fontId="2" type="noConversion"/>
  <pageMargins left="0.5" right="0.5" top="0.75" bottom="0.75" header="0.3" footer="0.3"/>
  <pageSetup scale="70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Expense Reimbursement Request</vt:lpstr>
      <vt:lpstr>Mileage </vt:lpstr>
      <vt:lpstr>'Expense Reimbursement Request'!Print_Area</vt:lpstr>
      <vt:lpstr>'Mileage '!Print_Area</vt:lpstr>
    </vt:vector>
  </TitlesOfParts>
  <Company>elmhurst college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Gina M. Patten</dc:creator>
  <cp:lastModifiedBy>Laura Bjerga</cp:lastModifiedBy>
  <cp:lastPrinted>2023-07-05T17:27:19Z</cp:lastPrinted>
  <dcterms:created xsi:type="dcterms:W3CDTF">2008-03-17T20:18:19Z</dcterms:created>
  <dcterms:modified xsi:type="dcterms:W3CDTF">2026-08-18T20:17:24Z</dcterms:modified>
</cp:coreProperties>
</file>